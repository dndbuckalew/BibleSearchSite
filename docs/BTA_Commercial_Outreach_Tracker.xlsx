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<sst xmlns="http://schemas.openxmlformats.org/spreadsheetml/2006/main" count="42" uniqueCount="34">
  <si>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 xml:space="preserve">BTA Commercial Outreach Tracker</t>
  </si>
  <si>
    <t xml:space="preserve">Bible Therapy Assistant — Ministry &amp; User Outreach Log</t>
  </si>
  <si>
    <t xml:space="preserve">Date</t>
  </si>
  <si>
    <t xml:space="preserve">Contact/Organization Name</t>
  </si>
  <si>
    <t xml:space="preserve">Contact Type</t>
  </si>
  <si>
    <t xml:space="preserve">Outreach Method</t>
  </si>
  <si>
    <t xml:space="preserve">Description</t>
  </si>
  <si>
    <t xml:space="preserve">Response/Status</t>
  </si>
  <si>
    <t xml:space="preserve">Follow-Up Needed</t>
  </si>
  <si>
    <t xml:space="preserve">Notes</t>
  </si>
  <si>
    <t xml:space="preserve">2026-06-10</t>
  </si>
  <si>
    <t xml:space="preserve">New Life Christian Church (Wildwood, FL)</t>
  </si>
  <si>
    <t xml:space="preserve">Organization Leadership</t>
  </si>
  <si>
    <t xml:space="preserve">In-Person Presentation</t>
  </si>
  <si>
    <t xml:space="preserve">Presented BTA platform to church leadership</t>
  </si>
  <si>
    <t xml:space="preserve">Presented — awaiting feedback</t>
  </si>
  <si>
    <t xml:space="preserve">Yes</t>
  </si>
  <si>
    <t xml:space="preserve">Counted as 1 of 2 leadership presentations referenced in SBIR narrative (organizations not named in federal docs)</t>
  </si>
  <si>
    <t xml:space="preserve">Encounter Church (Wildwood, FL)</t>
  </si>
  <si>
    <t xml:space="preserve">2026-06-18</t>
  </si>
  <si>
    <t xml:space="preserve">John (Crossroads — visitcrossroads.com)</t>
  </si>
  <si>
    <t xml:space="preserve">Personal/Ministry Contact (Pastor)</t>
  </si>
  <si>
    <t xml:space="preserve">Email</t>
  </si>
  <si>
    <t xml:space="preserve">Forwarded project overview email introducing BTA, V4.0 production release, and request for feedback</t>
  </si>
  <si>
    <t xml:space="preserve">Sent — awaiting response</t>
  </si>
  <si>
    <t xml:space="preserve">Personal relationship contact, distinct from organizational leadership presentations above</t>
  </si>
  <si>
    <t xml:space="preserve">Outreach Summary</t>
  </si>
  <si>
    <t xml:space="preserve">Metric</t>
  </si>
  <si>
    <t xml:space="preserve">Count</t>
  </si>
  <si>
    <t xml:space="preserve">Total Outreach Contacts Logged</t>
  </si>
  <si>
    <t xml:space="preserve">Organization Leadership Presentations</t>
  </si>
  <si>
    <t xml:space="preserve">Personal/Ministry Contacts</t>
  </si>
  <si>
    <t xml:space="preserve">Follow-Up Needed (Yes)</t>
  </si>
  <si>
    <t xml:space="preserve">Note: Counts update automatically as new rows are added to the Outreach Log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</si>
</sst>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5.0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35.05" hidden="false" customHeight="false" outlineLevel="0" collapsed="false">
      <c r="A6" s="4" t="s">
        <v>10</v>
      </c>
      <c r="B6" s="4" t="s">
        <v>18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customFormat="false" ht="35.05" hidden="false" customHeight="false" outlineLevel="0" collapsed="false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16</v>
      </c>
      <c r="H7" s="4" t="s">
        <v>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26</v>
      </c>
      <c r="B1" s="1"/>
    </row>
    <row r="3" customFormat="false" ht="15" hidden="false" customHeight="false" outlineLevel="0" collapsed="false">
      <c r="A3" s="5" t="s">
        <v>27</v>
      </c>
      <c r="B3" s="5" t="s">
        <v>28</v>
      </c>
    </row>
    <row r="4" customFormat="false" ht="15" hidden="false" customHeight="false" outlineLevel="0" collapsed="false">
      <c r="A4" s="6" t="s">
        <v>29</v>
      </c>
      <c r="B4" s="7" t="n">
        <f aca="false">COUNTA('Outreach Log'!A5:A1000)</f>
        <v>3</v>
      </c>
    </row>
    <row r="5" customFormat="false" ht="15" hidden="false" customHeight="false" outlineLevel="0" collapsed="false">
      <c r="A5" s="6" t="s">
        <v>30</v>
      </c>
      <c r="B5" s="7" t="n">
        <f aca="false">COUNTIF('Outreach Log'!C5:C1000,"Organization Leadership")</f>
        <v>2</v>
      </c>
    </row>
    <row r="6" customFormat="false" ht="15" hidden="false" customHeight="false" outlineLevel="0" collapsed="false">
      <c r="A6" s="6" t="s">
        <v>31</v>
      </c>
      <c r="B6" s="7" t="n">
        <f aca="false">COUNTIF('Outreach Log'!C5:C1000,"Personal/Ministry Contact (Pastor)")</f>
        <v>1</v>
      </c>
    </row>
    <row r="7" customFormat="false" ht="15" hidden="false" customHeight="false" outlineLevel="0" collapsed="false">
      <c r="A7" s="6" t="s">
        <v>32</v>
      </c>
      <c r="B7" s="7" t="n">
        <f aca="false">COUNTIF('Outreach Log'!G5:G1000,"Yes")</f>
        <v>3</v>
      </c>
    </row>
    <row r="9" customFormat="false" ht="15" hidden="false" customHeight="false" outlineLevel="0" collapsed="false">
      <c r="A9" s="8" t="s">
        <v>33</v>
      </c>
      <c r="B9" s="8"/>
      <c r="C9" s="8"/>
      <c r="D9" s="8"/>
    </row>
  </sheetData>
  <mergeCells count="2">
    <mergeCell ref="A1:B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2026-06-18T16:52:59Z</dcterms:created>
  <dc:creator>openpyxl</dc:creator>
  <dc:description/>
  <dc:language>en-US</dc:language>
  <cp:lastModifiedBy/>
  <dcterms:modified xsi:type="dcterms:W3CDTF">2026-06-18T16:52:59Z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